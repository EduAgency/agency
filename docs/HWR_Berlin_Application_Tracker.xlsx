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Tracker" sheetId="2" state="visible" r:id="rId4"/>
    <sheet name="Documents Checklist" sheetId="3" state="visible" r:id="rId5"/>
    <sheet name="Language Progress" sheetId="4" state="visible" r:id="rId6"/>
    <sheet name="Key D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<sst xmlns="http://schemas.openxmlformats.org/spreadsheetml/2006/main" count="340" uniqueCount="150">
  <si>
    <t xml:space="preserve">HWR Berlin — International Business Management</t>
  </si>
  <si>
    <t xml:space="preserve">Application &amp; Relocation Tracker  |  Target intake: October 2027</t>
  </si>
  <si>
    <t xml:space="preserve">Today's date:</t>
  </si>
  <si>
    <t xml:space="preserve">Target application submission:</t>
  </si>
  <si>
    <t xml:space="preserve">Days remaining:</t>
  </si>
  <si>
    <t xml:space="preserve">Total Tasks</t>
  </si>
  <si>
    <t xml:space="preserve">Completed</t>
  </si>
  <si>
    <t xml:space="preserve">In Progress</t>
  </si>
  <si>
    <t xml:space="preserve">Blocked</t>
  </si>
  <si>
    <t xml:space="preserve">Not Started</t>
  </si>
  <si>
    <t xml:space="preserve">% Complete</t>
  </si>
  <si>
    <t xml:space="preserve">Status</t>
  </si>
  <si>
    <t xml:space="preserve">Count</t>
  </si>
  <si>
    <t xml:space="preserve">Done</t>
  </si>
  <si>
    <t xml:space="preserve">Overall Progress</t>
  </si>
  <si>
    <t xml:space="preserve">Progress by Category</t>
  </si>
  <si>
    <t xml:space="preserve">Category</t>
  </si>
  <si>
    <t xml:space="preserve">Total</t>
  </si>
  <si>
    <t xml:space="preserve">% Done</t>
  </si>
  <si>
    <t xml:space="preserve">Documents &amp; Transcripts</t>
  </si>
  <si>
    <t xml:space="preserve">German Language</t>
  </si>
  <si>
    <t xml:space="preserve">English Proof</t>
  </si>
  <si>
    <t xml:space="preserve">uni-assist Application</t>
  </si>
  <si>
    <t xml:space="preserve">HWR Application</t>
  </si>
  <si>
    <t xml:space="preserve">Visa &amp; Relocation</t>
  </si>
  <si>
    <t xml:space="preserve">Spouse / Family</t>
  </si>
  <si>
    <t xml:space="preserve">Master Task Tracker</t>
  </si>
  <si>
    <t xml:space="preserve">Update the Status column (dropdown) as you progress. Dashboard updates automatically.</t>
  </si>
  <si>
    <t xml:space="preserve">Phase</t>
  </si>
  <si>
    <t xml:space="preserve">Task</t>
  </si>
  <si>
    <t xml:space="preserve">Start Date</t>
  </si>
  <si>
    <t xml:space="preserve">Target Date</t>
  </si>
  <si>
    <t xml:space="preserve">Priority</t>
  </si>
  <si>
    <t xml:space="preserve">Notes</t>
  </si>
  <si>
    <t xml:space="preserve">Phase 1: Sep-Dec 2026</t>
  </si>
  <si>
    <t xml:space="preserve">Request Nnamdi Azikiwe University transcript</t>
  </si>
  <si>
    <t xml:space="preserve">High</t>
  </si>
  <si>
    <t xml:space="preserve">Locate WAEC/NECO certificate &amp; results</t>
  </si>
  <si>
    <t xml:space="preserve">Request BYU-Pathway certificate &amp; academic record</t>
  </si>
  <si>
    <t xml:space="preserve">Request BYU-Idaho official transcript</t>
  </si>
  <si>
    <t xml:space="preserve">Gather passport &amp; CV</t>
  </si>
  <si>
    <t xml:space="preserve">Medium</t>
  </si>
  <si>
    <t xml:space="preserve">Create uni-assist account</t>
  </si>
  <si>
    <t xml:space="preserve">Enter Nnamdi Azikiwe University in uni-assist</t>
  </si>
  <si>
    <t xml:space="preserve">Enter BYU-Pathway in uni-assist</t>
  </si>
  <si>
    <t xml:space="preserve">Enter BYU-Idaho credits in uni-assist</t>
  </si>
  <si>
    <t xml:space="preserve">Start German course toward A1</t>
  </si>
  <si>
    <t xml:space="preserve">Confirm HWR entrance eligibility route (uni-assist evaluation)</t>
  </si>
  <si>
    <t xml:space="preserve">Phase 2: Jan-Mar 2027</t>
  </si>
  <si>
    <t xml:space="preserve">Reach German A2</t>
  </si>
  <si>
    <t xml:space="preserve">Verify HWR's exact English B2 evidence policy</t>
  </si>
  <si>
    <t xml:space="preserve">Register for IELTS</t>
  </si>
  <si>
    <t xml:space="preserve">Sit IELTS exam (target 6.0-6.5)</t>
  </si>
  <si>
    <t xml:space="preserve">Receive IELTS results</t>
  </si>
  <si>
    <t xml:space="preserve">Phase 3: Apr-May 2027</t>
  </si>
  <si>
    <t xml:space="preserve">Compile full document folder (all originals + copies)</t>
  </si>
  <si>
    <t xml:space="preserve">Get certified translations where required</t>
  </si>
  <si>
    <t xml:space="preserve">Draft motivation letter (entrepreneurship -&gt; tech -&gt; IBM narrative)</t>
  </si>
  <si>
    <t xml:space="preserve">Reach German B1 (stretch goal)</t>
  </si>
  <si>
    <t xml:space="preserve">Low</t>
  </si>
  <si>
    <t xml:space="preserve">Final review of uni-assist profile before submission window</t>
  </si>
  <si>
    <t xml:space="preserve">Phase 4: Jun-Jul 2027</t>
  </si>
  <si>
    <t xml:space="preserve">Submit uni-assist / HWR application</t>
  </si>
  <si>
    <t xml:space="preserve">Respond to any uni-assist document requests</t>
  </si>
  <si>
    <t xml:space="preserve">Track application status until decision</t>
  </si>
  <si>
    <t xml:space="preserve">Phase 5: Post-Admission</t>
  </si>
  <si>
    <t xml:space="preserve">Receive admission letter</t>
  </si>
  <si>
    <t xml:space="preserve">Arrange proof of financial resources (blocked account)</t>
  </si>
  <si>
    <t xml:space="preserve">Obtain German health insurance</t>
  </si>
  <si>
    <t xml:space="preserve">Apply for German student visa</t>
  </si>
  <si>
    <t xml:space="preserve">Arrange accommodation in Berlin</t>
  </si>
  <si>
    <t xml:space="preserve">Plan wife's dependent / family reunification visa</t>
  </si>
  <si>
    <t xml:space="preserve">Document Checklist</t>
  </si>
  <si>
    <t xml:space="preserve">Every item uni-assist / HWR may request. Mark Status as you obtain each.</t>
  </si>
  <si>
    <t xml:space="preserve">Document</t>
  </si>
  <si>
    <t xml:space="preserve">Required For</t>
  </si>
  <si>
    <t xml:space="preserve">Passport (valid, with copies)</t>
  </si>
  <si>
    <t xml:space="preserve">uni-assist, Visa</t>
  </si>
  <si>
    <t xml:space="preserve">Not Obtained</t>
  </si>
  <si>
    <t xml:space="preserve">WAEC/NECO certificate &amp; results</t>
  </si>
  <si>
    <t xml:space="preserve">uni-assist entrance evaluation</t>
  </si>
  <si>
    <t xml:space="preserve">Nnamdi Azikiwe University transcript</t>
  </si>
  <si>
    <t xml:space="preserve">1 year completed</t>
  </si>
  <si>
    <t xml:space="preserve">Nnamdi Azikiwe University admission letter (if available)</t>
  </si>
  <si>
    <t xml:space="preserve">BYU-Pathway certificate</t>
  </si>
  <si>
    <t xml:space="preserve">BYU-Pathway academic record</t>
  </si>
  <si>
    <t xml:space="preserve">BYU-Idaho official transcript</t>
  </si>
  <si>
    <t xml:space="preserve">Credits earned, degree not completed</t>
  </si>
  <si>
    <t xml:space="preserve">BYU-Idaho admission evidence</t>
  </si>
  <si>
    <t xml:space="preserve">CV / resume</t>
  </si>
  <si>
    <t xml:space="preserve">uni-assist, HWR</t>
  </si>
  <si>
    <t xml:space="preserve">Motivation letter</t>
  </si>
  <si>
    <t xml:space="preserve">HWR application</t>
  </si>
  <si>
    <t xml:space="preserve">Entrepreneurship -&gt; tech -&gt; IBM narrative</t>
  </si>
  <si>
    <t xml:space="preserve">German language certificate (A2 minimum)</t>
  </si>
  <si>
    <t xml:space="preserve">Target B1 before travel</t>
  </si>
  <si>
    <t xml:space="preserve">English B2 proof (IELTS/TOEFL or equivalent)</t>
  </si>
  <si>
    <t xml:space="preserve">Confirm exact HWR policy first</t>
  </si>
  <si>
    <t xml:space="preserve">Certified translations of non-English/German documents</t>
  </si>
  <si>
    <t xml:space="preserve">Admission letter from HWR</t>
  </si>
  <si>
    <t xml:space="preserve">Visa application</t>
  </si>
  <si>
    <t xml:space="preserve">Issued after acceptance</t>
  </si>
  <si>
    <t xml:space="preserve">Proof of financial resources (blocked account)</t>
  </si>
  <si>
    <t xml:space="preserve">German health insurance confirmation</t>
  </si>
  <si>
    <t xml:space="preserve">Accommodation confirmation in Berlin</t>
  </si>
  <si>
    <t xml:space="preserve">Marriage certificate</t>
  </si>
  <si>
    <t xml:space="preserve">Spouse dependent visa</t>
  </si>
  <si>
    <t xml:space="preserve">Spouse's passport &amp; documents</t>
  </si>
  <si>
    <t xml:space="preserve">Documents Obtained:</t>
  </si>
  <si>
    <t xml:space="preserve">Language Progress Tracker</t>
  </si>
  <si>
    <t xml:space="preserve">German A2 minimum required by HWR; English B2 required. Track milestones here.</t>
  </si>
  <si>
    <t xml:space="preserve">Language</t>
  </si>
  <si>
    <t xml:space="preserve">Milestone</t>
  </si>
  <si>
    <t xml:space="preserve">Achieved Date</t>
  </si>
  <si>
    <t xml:space="preserve">German</t>
  </si>
  <si>
    <t xml:space="preserve">A1</t>
  </si>
  <si>
    <t xml:space="preserve">A2 (HWR minimum)</t>
  </si>
  <si>
    <t xml:space="preserve">Required for admission</t>
  </si>
  <si>
    <t xml:space="preserve">B1 (recommended)</t>
  </si>
  <si>
    <t xml:space="preserve">Stretch goal before travel</t>
  </si>
  <si>
    <t xml:space="preserve">English</t>
  </si>
  <si>
    <t xml:space="preserve">Confirm HWR's exact B2 evidence policy</t>
  </si>
  <si>
    <t xml:space="preserve">IELTS registration</t>
  </si>
  <si>
    <t xml:space="preserve">IELTS exam sat</t>
  </si>
  <si>
    <t xml:space="preserve">Target score 6.0-6.5</t>
  </si>
  <si>
    <t xml:space="preserve">IELTS results received</t>
  </si>
  <si>
    <t xml:space="preserve">Key Dates &amp; Deadlines</t>
  </si>
  <si>
    <t xml:space="preserve">Date</t>
  </si>
  <si>
    <t xml:space="preserve">Days Remaining</t>
  </si>
  <si>
    <t xml:space="preserve">German A1 target</t>
  </si>
  <si>
    <t xml:space="preserve">Language school / self-study milestone</t>
  </si>
  <si>
    <t xml:space="preserve">German A2 target (HWR minimum)</t>
  </si>
  <si>
    <t xml:space="preserve">Required by HWR</t>
  </si>
  <si>
    <t xml:space="preserve">IELTS exam window</t>
  </si>
  <si>
    <t xml:space="preserve">Document folder complete</t>
  </si>
  <si>
    <t xml:space="preserve">All originals, copies &amp; translations ready</t>
  </si>
  <si>
    <t xml:space="preserve">German B1 stretch target</t>
  </si>
  <si>
    <t xml:space="preserve">Recommended, not required</t>
  </si>
  <si>
    <t xml:space="preserve">HWR/uni-assist application window opens</t>
  </si>
  <si>
    <t xml:space="preserve">Official window: 1 Jun - 15 Jul</t>
  </si>
  <si>
    <t xml:space="preserve">Personal submission deadline</t>
  </si>
  <si>
    <t xml:space="preserve">Submit early, don't wait for 15 Jul</t>
  </si>
  <si>
    <t xml:space="preserve">Official application deadline</t>
  </si>
  <si>
    <t xml:space="preserve">Hard deadline for winter semester</t>
  </si>
  <si>
    <t xml:space="preserve">Expected admission decision</t>
  </si>
  <si>
    <t xml:space="preserve">Estimate — confirm with HWR</t>
  </si>
  <si>
    <t xml:space="preserve">Student visa application</t>
  </si>
  <si>
    <t xml:space="preserve">After admission letter received</t>
  </si>
  <si>
    <t xml:space="preserve">Target arrival in Berlin</t>
  </si>
  <si>
    <t xml:space="preserve">Before October 2027 intake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</si>
</sst>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General"/>
    <numFmt numFmtId="167" formatCode="0%"/>
    <numFmt numFmtId="168" formatCode="0%&quot; complete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2E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4F81BD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BF8F00"/>
      <rgbColor rgb="FFFF6600"/>
      <rgbColor rgb="FF8064A2"/>
      <rgbColor rgb="FF969696"/>
      <rgbColor rgb="FF1F3864"/>
      <rgbColor rgb="FF548235"/>
      <rgbColor rgb="FF003300"/>
      <rgbColor rgb="FF333300"/>
      <rgbColor rgb="FF993300"/>
      <rgbColor rgb="FFC0504D"/>
      <rgbColor rgb="FF2E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Dashboard!$I$10:$I$13</c:f>
              <c:strCache>
                <c:ptCount val="4"/>
                <c:pt idx="0">
                  <c:v>Done</c:v>
                </c:pt>
                <c:pt idx="1">
                  <c:v>In Progress</c:v>
                </c:pt>
                <c:pt idx="2">
                  <c:v>Blocked</c:v>
                </c:pt>
                <c:pt idx="3">
                  <c:v>Not Started</c:v>
                </c:pt>
              </c:strCache>
            </c:strRef>
          </c:cat>
          <c:val>
            <c:numRef>
              <c:f>Dashboard!$J$10:$J$13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13</xdr:row>
      <xdr:rowOff>101160</xdr:rowOff>
    </xdr:from>
    <xdr:to>
      <xdr:col>15</xdr:col>
      <xdr:colOff>38880</xdr:colOff>
      <xdr:row>26</xdr:row>
      <xdr:rowOff>165600</xdr:rowOff>
    </xdr:to>
    <xdr:graphicFrame>
      <xdr:nvGraphicFramePr>
        <xdr:cNvPr id="0" name="Chart 1"/>
        <xdr:cNvGraphicFramePr/>
      </xdr:nvGraphicFramePr>
      <xdr:xfrm>
        <a:off x="8669520" y="299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8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true">TODAY()</f>
        <v>46265</v>
      </c>
    </row>
    <row r="6" customFormat="false" ht="15" hidden="false" customHeight="false" outlineLevel="0" collapsed="false">
      <c r="B6" s="3" t="s">
        <v>3</v>
      </c>
      <c r="C6" s="4" t="n">
        <v>46539</v>
      </c>
    </row>
    <row r="7" customFormat="false" ht="15" hidden="false" customHeight="false" outlineLevel="0" collapsed="false">
      <c r="B7" s="3" t="s">
        <v>4</v>
      </c>
      <c r="C7" s="5" t="n">
        <f aca="false">C6-C5</f>
        <v>274</v>
      </c>
    </row>
    <row r="9" customFormat="false" ht="25.5" hidden="false" customHeight="true" outlineLevel="0" collapsed="false"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I9" s="7" t="s">
        <v>11</v>
      </c>
      <c r="J9" s="7" t="s">
        <v>12</v>
      </c>
    </row>
    <row r="10" customFormat="false" ht="30" hidden="false" customHeight="true" outlineLevel="0" collapsed="false">
      <c r="B10" s="8" t="n">
        <f aca="false">COUNTA('Master Tracker'!C6:C200)</f>
        <v>30</v>
      </c>
      <c r="C10" s="8" t="n">
        <f aca="false">COUNTIF('Master Tracker'!G6:G200,"Done")</f>
        <v>0</v>
      </c>
      <c r="D10" s="8" t="n">
        <f aca="false">COUNTIF('Master Tracker'!G6:G200,"In Progress")</f>
        <v>0</v>
      </c>
      <c r="E10" s="8" t="n">
        <f aca="false">COUNTIF('Master Tracker'!G6:G200,"Blocked")</f>
        <v>0</v>
      </c>
      <c r="F10" s="8" t="n">
        <f aca="false">COUNTIF('Master Tracker'!G6:G200,"Not Started")</f>
        <v>30</v>
      </c>
      <c r="G10" s="9" t="n">
        <f aca="false">IFERROR(C10/B10,0)</f>
        <v>0</v>
      </c>
      <c r="I10" s="7" t="s">
        <v>13</v>
      </c>
      <c r="J10" s="7" t="n">
        <f aca="false">COUNTIF('Master Tracker'!$G$6:$G$200,"Done")</f>
        <v>0</v>
      </c>
    </row>
    <row r="11" customFormat="false" ht="15" hidden="false" customHeight="false" outlineLevel="0" collapsed="false">
      <c r="I11" s="0" t="s">
        <v>7</v>
      </c>
      <c r="J11" s="0" t="n">
        <f aca="false">COUNTIF('Master Tracker'!$G$6:$G$200,"In Progress")</f>
        <v>0</v>
      </c>
    </row>
    <row r="12" customFormat="false" ht="15" hidden="false" customHeight="false" outlineLevel="0" collapsed="false">
      <c r="I12" s="0" t="s">
        <v>8</v>
      </c>
      <c r="J12" s="0" t="n">
        <f aca="false">COUNTIF('Master Tracker'!$G$6:$G$200,"Blocked")</f>
        <v>0</v>
      </c>
    </row>
    <row r="13" customFormat="false" ht="15" hidden="false" customHeight="false" outlineLevel="0" collapsed="false">
      <c r="I13" s="0" t="s">
        <v>9</v>
      </c>
      <c r="J13" s="0" t="n">
        <f aca="false">COUNTIF('Master Tracker'!$G$6:$G$200,"Not Started")</f>
        <v>30</v>
      </c>
    </row>
    <row r="14" customFormat="false" ht="15" hidden="false" customHeight="false" outlineLevel="0" collapsed="false">
      <c r="B14" s="3" t="s">
        <v>14</v>
      </c>
      <c r="C14" s="10" t="n">
        <f aca="false">G10</f>
        <v>0</v>
      </c>
      <c r="D14" s="10"/>
      <c r="E14" s="10"/>
      <c r="F14" s="10"/>
      <c r="G14" s="10"/>
    </row>
    <row r="17" customFormat="false" ht="16.15" hidden="false" customHeight="false" outlineLevel="0" collapsed="false">
      <c r="B17" s="11" t="s">
        <v>15</v>
      </c>
    </row>
    <row r="18" customFormat="false" ht="19.5" hidden="false" customHeight="true" outlineLevel="0" collapsed="false">
      <c r="B18" s="12" t="s">
        <v>16</v>
      </c>
      <c r="C18" s="12" t="s">
        <v>17</v>
      </c>
      <c r="D18" s="12" t="s">
        <v>13</v>
      </c>
      <c r="E18" s="12" t="s">
        <v>18</v>
      </c>
    </row>
    <row r="19" customFormat="false" ht="18" hidden="false" customHeight="true" outlineLevel="0" collapsed="false">
      <c r="B19" s="13" t="s">
        <v>19</v>
      </c>
      <c r="C19" s="14" t="n">
        <f aca="false">COUNTIF('Master Tracker'!$D$6:$D$200,B19)</f>
        <v>5</v>
      </c>
      <c r="D19" s="14" t="n">
        <f aca="false">COUNTIFS('Master Tracker'!$D$6:$D$200,B19,'Master Tracker'!$G$6:$G$200,"Done")</f>
        <v>0</v>
      </c>
      <c r="E19" s="15" t="n">
        <f aca="false">IFERROR(D19/C19,0)</f>
        <v>0</v>
      </c>
    </row>
    <row r="20" customFormat="false" ht="18" hidden="false" customHeight="true" outlineLevel="0" collapsed="false">
      <c r="B20" s="13" t="s">
        <v>20</v>
      </c>
      <c r="C20" s="14" t="n">
        <f aca="false">COUNTIF('Master Tracker'!$D$6:$D$200,B20)</f>
        <v>3</v>
      </c>
      <c r="D20" s="14" t="n">
        <f aca="false">COUNTIFS('Master Tracker'!$D$6:$D$200,B20,'Master Tracker'!$G$6:$G$200,"Done")</f>
        <v>0</v>
      </c>
      <c r="E20" s="15" t="n">
        <f aca="false">IFERROR(D20/C20,0)</f>
        <v>0</v>
      </c>
    </row>
    <row r="21" customFormat="false" ht="18" hidden="false" customHeight="true" outlineLevel="0" collapsed="false">
      <c r="B21" s="13" t="s">
        <v>21</v>
      </c>
      <c r="C21" s="14" t="n">
        <f aca="false">COUNTIF('Master Tracker'!$D$6:$D$200,B21)</f>
        <v>4</v>
      </c>
      <c r="D21" s="14" t="n">
        <f aca="false">COUNTIFS('Master Tracker'!$D$6:$D$200,B21,'Master Tracker'!$G$6:$G$200,"Done")</f>
        <v>0</v>
      </c>
      <c r="E21" s="15" t="n">
        <f aca="false">IFERROR(D21/C21,0)</f>
        <v>0</v>
      </c>
    </row>
    <row r="22" customFormat="false" ht="18" hidden="false" customHeight="true" outlineLevel="0" collapsed="false">
      <c r="B22" s="13" t="s">
        <v>22</v>
      </c>
      <c r="C22" s="14" t="n">
        <f aca="false">COUNTIF('Master Tracker'!$D$6:$D$200,B22)</f>
        <v>6</v>
      </c>
      <c r="D22" s="14" t="n">
        <f aca="false">COUNTIFS('Master Tracker'!$D$6:$D$200,B22,'Master Tracker'!$G$6:$G$200,"Done")</f>
        <v>0</v>
      </c>
      <c r="E22" s="15" t="n">
        <f aca="false">IFERROR(D22/C22,0)</f>
        <v>0</v>
      </c>
    </row>
    <row r="23" customFormat="false" ht="18" hidden="false" customHeight="true" outlineLevel="0" collapsed="false">
      <c r="B23" s="13" t="s">
        <v>23</v>
      </c>
      <c r="C23" s="14" t="n">
        <f aca="false">COUNTIF('Master Tracker'!$D$6:$D$200,B23)</f>
        <v>6</v>
      </c>
      <c r="D23" s="14" t="n">
        <f aca="false">COUNTIFS('Master Tracker'!$D$6:$D$200,B23,'Master Tracker'!$G$6:$G$200,"Done")</f>
        <v>0</v>
      </c>
      <c r="E23" s="15" t="n">
        <f aca="false">IFERROR(D23/C23,0)</f>
        <v>0</v>
      </c>
    </row>
    <row r="24" customFormat="false" ht="18" hidden="false" customHeight="true" outlineLevel="0" collapsed="false">
      <c r="B24" s="13" t="s">
        <v>24</v>
      </c>
      <c r="C24" s="14" t="n">
        <f aca="false">COUNTIF('Master Tracker'!$D$6:$D$200,B24)</f>
        <v>5</v>
      </c>
      <c r="D24" s="14" t="n">
        <f aca="false">COUNTIFS('Master Tracker'!$D$6:$D$200,B24,'Master Tracker'!$G$6:$G$200,"Done")</f>
        <v>0</v>
      </c>
      <c r="E24" s="15" t="n">
        <f aca="false">IFERROR(D24/C24,0)</f>
        <v>0</v>
      </c>
    </row>
    <row r="25" customFormat="false" ht="18" hidden="false" customHeight="true" outlineLevel="0" collapsed="false">
      <c r="B25" s="13" t="s">
        <v>25</v>
      </c>
      <c r="C25" s="14" t="n">
        <f aca="false">COUNTIF('Master Tracker'!$D$6:$D$200,B25)</f>
        <v>1</v>
      </c>
      <c r="D25" s="14" t="n">
        <f aca="false">COUNTIFS('Master Tracker'!$D$6:$D$200,B25,'Master Tracker'!$G$6:$G$200,"Done")</f>
        <v>0</v>
      </c>
      <c r="E25" s="15" t="n">
        <f aca="false">IFERROR(D25/C25,0)</f>
        <v>0</v>
      </c>
    </row>
  </sheetData>
  <mergeCells count="1">
    <mergeCell ref="C14:G14"/>
  </mergeCells>
  <conditionalFormatting sqref="E19:E25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496"/>
    <pageSetUpPr fitToPage="false"/>
  </sheetPr>
  <dimension ref="B2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40"/>
  </cols>
  <sheetData>
    <row r="2" customFormat="false" ht="19.7" hidden="false" customHeight="false" outlineLevel="0" collapsed="false">
      <c r="B2" s="16" t="s">
        <v>26</v>
      </c>
    </row>
    <row r="3" customFormat="false" ht="15" hidden="false" customHeight="false" outlineLevel="0" collapsed="false">
      <c r="B3" s="2" t="s">
        <v>27</v>
      </c>
    </row>
    <row r="5" customFormat="false" ht="21.75" hidden="false" customHeight="true" outlineLevel="0" collapsed="false">
      <c r="B5" s="12" t="s">
        <v>28</v>
      </c>
      <c r="C5" s="12" t="s">
        <v>29</v>
      </c>
      <c r="D5" s="12" t="s">
        <v>16</v>
      </c>
      <c r="E5" s="12" t="s">
        <v>30</v>
      </c>
      <c r="F5" s="12" t="s">
        <v>31</v>
      </c>
      <c r="G5" s="12" t="s">
        <v>11</v>
      </c>
      <c r="H5" s="12" t="s">
        <v>32</v>
      </c>
      <c r="I5" s="12" t="s">
        <v>18</v>
      </c>
      <c r="J5" s="12" t="s">
        <v>33</v>
      </c>
    </row>
    <row r="6" customFormat="false" ht="15.75" hidden="false" customHeight="true" outlineLevel="0" collapsed="false">
      <c r="B6" s="17" t="s">
        <v>34</v>
      </c>
      <c r="C6" s="18" t="s">
        <v>35</v>
      </c>
      <c r="D6" s="17" t="s">
        <v>19</v>
      </c>
      <c r="E6" s="19" t="n">
        <v>46266</v>
      </c>
      <c r="F6" s="19" t="n">
        <v>46310</v>
      </c>
      <c r="G6" s="17" t="s">
        <v>9</v>
      </c>
      <c r="H6" s="17" t="s">
        <v>36</v>
      </c>
      <c r="I6" s="20" t="n">
        <f aca="false">IF(G6="Done",1,IF(G6="In Progress",0.5,IF(G6="Blocked",0.25,0)))</f>
        <v>0</v>
      </c>
      <c r="J6" s="18"/>
    </row>
    <row r="7" customFormat="false" ht="15.75" hidden="false" customHeight="true" outlineLevel="0" collapsed="false">
      <c r="B7" s="17" t="s">
        <v>34</v>
      </c>
      <c r="C7" s="18" t="s">
        <v>37</v>
      </c>
      <c r="D7" s="17" t="s">
        <v>19</v>
      </c>
      <c r="E7" s="19" t="n">
        <v>46266</v>
      </c>
      <c r="F7" s="19" t="n">
        <v>46295</v>
      </c>
      <c r="G7" s="17" t="s">
        <v>9</v>
      </c>
      <c r="H7" s="17" t="s">
        <v>36</v>
      </c>
      <c r="I7" s="20" t="n">
        <f aca="false">IF(G7="Done",1,IF(G7="In Progress",0.5,IF(G7="Blocked",0.25,0)))</f>
        <v>0</v>
      </c>
      <c r="J7" s="18"/>
    </row>
    <row r="8" customFormat="false" ht="15.75" hidden="false" customHeight="true" outlineLevel="0" collapsed="false">
      <c r="B8" s="17" t="s">
        <v>34</v>
      </c>
      <c r="C8" s="18" t="s">
        <v>38</v>
      </c>
      <c r="D8" s="17" t="s">
        <v>19</v>
      </c>
      <c r="E8" s="19" t="n">
        <v>46266</v>
      </c>
      <c r="F8" s="19" t="n">
        <v>46310</v>
      </c>
      <c r="G8" s="17" t="s">
        <v>9</v>
      </c>
      <c r="H8" s="17" t="s">
        <v>36</v>
      </c>
      <c r="I8" s="20" t="n">
        <f aca="false">IF(G8="Done",1,IF(G8="In Progress",0.5,IF(G8="Blocked",0.25,0)))</f>
        <v>0</v>
      </c>
      <c r="J8" s="18"/>
    </row>
    <row r="9" customFormat="false" ht="15.75" hidden="false" customHeight="true" outlineLevel="0" collapsed="false">
      <c r="B9" s="17" t="s">
        <v>34</v>
      </c>
      <c r="C9" s="18" t="s">
        <v>39</v>
      </c>
      <c r="D9" s="17" t="s">
        <v>19</v>
      </c>
      <c r="E9" s="19" t="n">
        <v>46266</v>
      </c>
      <c r="F9" s="19" t="n">
        <v>46310</v>
      </c>
      <c r="G9" s="17" t="s">
        <v>9</v>
      </c>
      <c r="H9" s="17" t="s">
        <v>36</v>
      </c>
      <c r="I9" s="20" t="n">
        <f aca="false">IF(G9="Done",1,IF(G9="In Progress",0.5,IF(G9="Blocked",0.25,0)))</f>
        <v>0</v>
      </c>
      <c r="J9" s="18"/>
    </row>
    <row r="10" customFormat="false" ht="15.75" hidden="false" customHeight="true" outlineLevel="0" collapsed="false">
      <c r="B10" s="17" t="s">
        <v>34</v>
      </c>
      <c r="C10" s="18" t="s">
        <v>40</v>
      </c>
      <c r="D10" s="17" t="s">
        <v>19</v>
      </c>
      <c r="E10" s="19" t="n">
        <v>46266</v>
      </c>
      <c r="F10" s="19" t="n">
        <v>46280</v>
      </c>
      <c r="G10" s="17" t="s">
        <v>9</v>
      </c>
      <c r="H10" s="17" t="s">
        <v>41</v>
      </c>
      <c r="I10" s="20" t="n">
        <f aca="false">IF(G10="Done",1,IF(G10="In Progress",0.5,IF(G10="Blocked",0.25,0)))</f>
        <v>0</v>
      </c>
      <c r="J10" s="18"/>
    </row>
    <row r="11" customFormat="false" ht="15.75" hidden="false" customHeight="true" outlineLevel="0" collapsed="false">
      <c r="B11" s="17" t="s">
        <v>34</v>
      </c>
      <c r="C11" s="18" t="s">
        <v>42</v>
      </c>
      <c r="D11" s="17" t="s">
        <v>22</v>
      </c>
      <c r="E11" s="19" t="n">
        <v>46280</v>
      </c>
      <c r="F11" s="19" t="n">
        <v>46296</v>
      </c>
      <c r="G11" s="17" t="s">
        <v>9</v>
      </c>
      <c r="H11" s="17" t="s">
        <v>36</v>
      </c>
      <c r="I11" s="20" t="n">
        <f aca="false">IF(G11="Done",1,IF(G11="In Progress",0.5,IF(G11="Blocked",0.25,0)))</f>
        <v>0</v>
      </c>
      <c r="J11" s="18"/>
    </row>
    <row r="12" customFormat="false" ht="15.75" hidden="false" customHeight="true" outlineLevel="0" collapsed="false">
      <c r="B12" s="17" t="s">
        <v>34</v>
      </c>
      <c r="C12" s="18" t="s">
        <v>43</v>
      </c>
      <c r="D12" s="17" t="s">
        <v>22</v>
      </c>
      <c r="E12" s="19" t="n">
        <v>46296</v>
      </c>
      <c r="F12" s="19" t="n">
        <v>46326</v>
      </c>
      <c r="G12" s="17" t="s">
        <v>9</v>
      </c>
      <c r="H12" s="17" t="s">
        <v>41</v>
      </c>
      <c r="I12" s="20" t="n">
        <f aca="false">IF(G12="Done",1,IF(G12="In Progress",0.5,IF(G12="Blocked",0.25,0)))</f>
        <v>0</v>
      </c>
      <c r="J12" s="18"/>
    </row>
    <row r="13" customFormat="false" ht="15.75" hidden="false" customHeight="true" outlineLevel="0" collapsed="false">
      <c r="B13" s="17" t="s">
        <v>34</v>
      </c>
      <c r="C13" s="18" t="s">
        <v>44</v>
      </c>
      <c r="D13" s="17" t="s">
        <v>22</v>
      </c>
      <c r="E13" s="19" t="n">
        <v>46296</v>
      </c>
      <c r="F13" s="19" t="n">
        <v>46326</v>
      </c>
      <c r="G13" s="17" t="s">
        <v>9</v>
      </c>
      <c r="H13" s="17" t="s">
        <v>41</v>
      </c>
      <c r="I13" s="20" t="n">
        <f aca="false">IF(G13="Done",1,IF(G13="In Progress",0.5,IF(G13="Blocked",0.25,0)))</f>
        <v>0</v>
      </c>
      <c r="J13" s="18"/>
    </row>
    <row r="14" customFormat="false" ht="15.75" hidden="false" customHeight="true" outlineLevel="0" collapsed="false">
      <c r="B14" s="17" t="s">
        <v>34</v>
      </c>
      <c r="C14" s="18" t="s">
        <v>45</v>
      </c>
      <c r="D14" s="17" t="s">
        <v>22</v>
      </c>
      <c r="E14" s="19" t="n">
        <v>46296</v>
      </c>
      <c r="F14" s="19" t="n">
        <v>46326</v>
      </c>
      <c r="G14" s="17" t="s">
        <v>9</v>
      </c>
      <c r="H14" s="17" t="s">
        <v>41</v>
      </c>
      <c r="I14" s="20" t="n">
        <f aca="false">IF(G14="Done",1,IF(G14="In Progress",0.5,IF(G14="Blocked",0.25,0)))</f>
        <v>0</v>
      </c>
      <c r="J14" s="18"/>
    </row>
    <row r="15" customFormat="false" ht="15.75" hidden="false" customHeight="true" outlineLevel="0" collapsed="false">
      <c r="B15" s="17" t="s">
        <v>34</v>
      </c>
      <c r="C15" s="18" t="s">
        <v>46</v>
      </c>
      <c r="D15" s="17" t="s">
        <v>20</v>
      </c>
      <c r="E15" s="19" t="n">
        <v>46266</v>
      </c>
      <c r="F15" s="19" t="n">
        <v>46387</v>
      </c>
      <c r="G15" s="17" t="s">
        <v>9</v>
      </c>
      <c r="H15" s="17" t="s">
        <v>36</v>
      </c>
      <c r="I15" s="20" t="n">
        <f aca="false">IF(G15="Done",1,IF(G15="In Progress",0.5,IF(G15="Blocked",0.25,0)))</f>
        <v>0</v>
      </c>
      <c r="J15" s="18"/>
    </row>
    <row r="16" customFormat="false" ht="15.75" hidden="false" customHeight="true" outlineLevel="0" collapsed="false">
      <c r="B16" s="17" t="s">
        <v>34</v>
      </c>
      <c r="C16" s="18" t="s">
        <v>47</v>
      </c>
      <c r="D16" s="17" t="s">
        <v>22</v>
      </c>
      <c r="E16" s="19" t="n">
        <v>46327</v>
      </c>
      <c r="F16" s="19" t="n">
        <v>46371</v>
      </c>
      <c r="G16" s="17" t="s">
        <v>9</v>
      </c>
      <c r="H16" s="17" t="s">
        <v>36</v>
      </c>
      <c r="I16" s="20" t="n">
        <f aca="false">IF(G16="Done",1,IF(G16="In Progress",0.5,IF(G16="Blocked",0.25,0)))</f>
        <v>0</v>
      </c>
      <c r="J16" s="18"/>
    </row>
    <row r="17" customFormat="false" ht="15.75" hidden="false" customHeight="true" outlineLevel="0" collapsed="false">
      <c r="B17" s="17" t="s">
        <v>48</v>
      </c>
      <c r="C17" s="18" t="s">
        <v>49</v>
      </c>
      <c r="D17" s="17" t="s">
        <v>20</v>
      </c>
      <c r="E17" s="19" t="n">
        <v>46388</v>
      </c>
      <c r="F17" s="19" t="n">
        <v>46477</v>
      </c>
      <c r="G17" s="17" t="s">
        <v>9</v>
      </c>
      <c r="H17" s="17" t="s">
        <v>36</v>
      </c>
      <c r="I17" s="20" t="n">
        <f aca="false">IF(G17="Done",1,IF(G17="In Progress",0.5,IF(G17="Blocked",0.25,0)))</f>
        <v>0</v>
      </c>
      <c r="J17" s="18"/>
    </row>
    <row r="18" customFormat="false" ht="15.75" hidden="false" customHeight="true" outlineLevel="0" collapsed="false">
      <c r="B18" s="17" t="s">
        <v>48</v>
      </c>
      <c r="C18" s="18" t="s">
        <v>50</v>
      </c>
      <c r="D18" s="17" t="s">
        <v>21</v>
      </c>
      <c r="E18" s="19" t="n">
        <v>46388</v>
      </c>
      <c r="F18" s="19" t="n">
        <v>46418</v>
      </c>
      <c r="G18" s="17" t="s">
        <v>9</v>
      </c>
      <c r="H18" s="17" t="s">
        <v>36</v>
      </c>
      <c r="I18" s="20" t="n">
        <f aca="false">IF(G18="Done",1,IF(G18="In Progress",0.5,IF(G18="Blocked",0.25,0)))</f>
        <v>0</v>
      </c>
      <c r="J18" s="18"/>
    </row>
    <row r="19" customFormat="false" ht="15.75" hidden="false" customHeight="true" outlineLevel="0" collapsed="false">
      <c r="B19" s="17" t="s">
        <v>48</v>
      </c>
      <c r="C19" s="18" t="s">
        <v>51</v>
      </c>
      <c r="D19" s="17" t="s">
        <v>21</v>
      </c>
      <c r="E19" s="19" t="n">
        <v>46402</v>
      </c>
      <c r="F19" s="19" t="n">
        <v>46433</v>
      </c>
      <c r="G19" s="17" t="s">
        <v>9</v>
      </c>
      <c r="H19" s="17" t="s">
        <v>41</v>
      </c>
      <c r="I19" s="20" t="n">
        <f aca="false">IF(G19="Done",1,IF(G19="In Progress",0.5,IF(G19="Blocked",0.25,0)))</f>
        <v>0</v>
      </c>
      <c r="J19" s="18"/>
    </row>
    <row r="20" customFormat="false" ht="15.75" hidden="false" customHeight="true" outlineLevel="0" collapsed="false">
      <c r="B20" s="17" t="s">
        <v>48</v>
      </c>
      <c r="C20" s="18" t="s">
        <v>52</v>
      </c>
      <c r="D20" s="17" t="s">
        <v>21</v>
      </c>
      <c r="E20" s="19" t="n">
        <v>46433</v>
      </c>
      <c r="F20" s="19" t="n">
        <v>46461</v>
      </c>
      <c r="G20" s="17" t="s">
        <v>9</v>
      </c>
      <c r="H20" s="17" t="s">
        <v>36</v>
      </c>
      <c r="I20" s="20" t="n">
        <f aca="false">IF(G20="Done",1,IF(G20="In Progress",0.5,IF(G20="Blocked",0.25,0)))</f>
        <v>0</v>
      </c>
      <c r="J20" s="18"/>
    </row>
    <row r="21" customFormat="false" ht="15.75" hidden="false" customHeight="true" outlineLevel="0" collapsed="false">
      <c r="B21" s="17" t="s">
        <v>48</v>
      </c>
      <c r="C21" s="18" t="s">
        <v>53</v>
      </c>
      <c r="D21" s="17" t="s">
        <v>21</v>
      </c>
      <c r="E21" s="19" t="n">
        <v>46461</v>
      </c>
      <c r="F21" s="19" t="n">
        <v>46477</v>
      </c>
      <c r="G21" s="17" t="s">
        <v>9</v>
      </c>
      <c r="H21" s="17" t="s">
        <v>41</v>
      </c>
      <c r="I21" s="20" t="n">
        <f aca="false">IF(G21="Done",1,IF(G21="In Progress",0.5,IF(G21="Blocked",0.25,0)))</f>
        <v>0</v>
      </c>
      <c r="J21" s="18"/>
    </row>
    <row r="22" customFormat="false" ht="15.75" hidden="false" customHeight="true" outlineLevel="0" collapsed="false">
      <c r="B22" s="17" t="s">
        <v>54</v>
      </c>
      <c r="C22" s="18" t="s">
        <v>55</v>
      </c>
      <c r="D22" s="17" t="s">
        <v>23</v>
      </c>
      <c r="E22" s="19" t="n">
        <v>46478</v>
      </c>
      <c r="F22" s="19" t="n">
        <v>46507</v>
      </c>
      <c r="G22" s="17" t="s">
        <v>9</v>
      </c>
      <c r="H22" s="17" t="s">
        <v>36</v>
      </c>
      <c r="I22" s="20" t="n">
        <f aca="false">IF(G22="Done",1,IF(G22="In Progress",0.5,IF(G22="Blocked",0.25,0)))</f>
        <v>0</v>
      </c>
      <c r="J22" s="18"/>
    </row>
    <row r="23" customFormat="false" ht="15.75" hidden="false" customHeight="true" outlineLevel="0" collapsed="false">
      <c r="B23" s="17" t="s">
        <v>54</v>
      </c>
      <c r="C23" s="18" t="s">
        <v>56</v>
      </c>
      <c r="D23" s="17" t="s">
        <v>23</v>
      </c>
      <c r="E23" s="19" t="n">
        <v>46478</v>
      </c>
      <c r="F23" s="19" t="n">
        <v>46507</v>
      </c>
      <c r="G23" s="17" t="s">
        <v>9</v>
      </c>
      <c r="H23" s="17" t="s">
        <v>41</v>
      </c>
      <c r="I23" s="20" t="n">
        <f aca="false">IF(G23="Done",1,IF(G23="In Progress",0.5,IF(G23="Blocked",0.25,0)))</f>
        <v>0</v>
      </c>
      <c r="J23" s="18"/>
    </row>
    <row r="24" customFormat="false" ht="15.75" hidden="false" customHeight="true" outlineLevel="0" collapsed="false">
      <c r="B24" s="17" t="s">
        <v>54</v>
      </c>
      <c r="C24" s="18" t="s">
        <v>57</v>
      </c>
      <c r="D24" s="17" t="s">
        <v>23</v>
      </c>
      <c r="E24" s="19" t="n">
        <v>46478</v>
      </c>
      <c r="F24" s="19" t="n">
        <v>46507</v>
      </c>
      <c r="G24" s="17" t="s">
        <v>9</v>
      </c>
      <c r="H24" s="17" t="s">
        <v>41</v>
      </c>
      <c r="I24" s="20" t="n">
        <f aca="false">IF(G24="Done",1,IF(G24="In Progress",0.5,IF(G24="Blocked",0.25,0)))</f>
        <v>0</v>
      </c>
      <c r="J24" s="18"/>
    </row>
    <row r="25" customFormat="false" ht="15.75" hidden="false" customHeight="true" outlineLevel="0" collapsed="false">
      <c r="B25" s="17" t="s">
        <v>54</v>
      </c>
      <c r="C25" s="18" t="s">
        <v>58</v>
      </c>
      <c r="D25" s="17" t="s">
        <v>20</v>
      </c>
      <c r="E25" s="19" t="n">
        <v>46478</v>
      </c>
      <c r="F25" s="19" t="n">
        <v>46568</v>
      </c>
      <c r="G25" s="17" t="s">
        <v>9</v>
      </c>
      <c r="H25" s="17" t="s">
        <v>59</v>
      </c>
      <c r="I25" s="20" t="n">
        <f aca="false">IF(G25="Done",1,IF(G25="In Progress",0.5,IF(G25="Blocked",0.25,0)))</f>
        <v>0</v>
      </c>
      <c r="J25" s="18"/>
    </row>
    <row r="26" customFormat="false" ht="15.75" hidden="false" customHeight="true" outlineLevel="0" collapsed="false">
      <c r="B26" s="17" t="s">
        <v>54</v>
      </c>
      <c r="C26" s="18" t="s">
        <v>60</v>
      </c>
      <c r="D26" s="17" t="s">
        <v>22</v>
      </c>
      <c r="E26" s="19" t="n">
        <v>46508</v>
      </c>
      <c r="F26" s="19" t="n">
        <v>46538</v>
      </c>
      <c r="G26" s="17" t="s">
        <v>9</v>
      </c>
      <c r="H26" s="17" t="s">
        <v>36</v>
      </c>
      <c r="I26" s="20" t="n">
        <f aca="false">IF(G26="Done",1,IF(G26="In Progress",0.5,IF(G26="Blocked",0.25,0)))</f>
        <v>0</v>
      </c>
      <c r="J26" s="18"/>
    </row>
    <row r="27" customFormat="false" ht="15.75" hidden="false" customHeight="true" outlineLevel="0" collapsed="false">
      <c r="B27" s="17" t="s">
        <v>61</v>
      </c>
      <c r="C27" s="18" t="s">
        <v>62</v>
      </c>
      <c r="D27" s="17" t="s">
        <v>23</v>
      </c>
      <c r="E27" s="19" t="n">
        <v>46539</v>
      </c>
      <c r="F27" s="19" t="n">
        <v>46539</v>
      </c>
      <c r="G27" s="17" t="s">
        <v>9</v>
      </c>
      <c r="H27" s="17" t="s">
        <v>36</v>
      </c>
      <c r="I27" s="20" t="n">
        <f aca="false">IF(G27="Done",1,IF(G27="In Progress",0.5,IF(G27="Blocked",0.25,0)))</f>
        <v>0</v>
      </c>
      <c r="J27" s="18"/>
    </row>
    <row r="28" customFormat="false" ht="15.75" hidden="false" customHeight="true" outlineLevel="0" collapsed="false">
      <c r="B28" s="17" t="s">
        <v>61</v>
      </c>
      <c r="C28" s="18" t="s">
        <v>63</v>
      </c>
      <c r="D28" s="17" t="s">
        <v>23</v>
      </c>
      <c r="E28" s="19" t="n">
        <v>46539</v>
      </c>
      <c r="F28" s="19" t="n">
        <v>46583</v>
      </c>
      <c r="G28" s="17" t="s">
        <v>9</v>
      </c>
      <c r="H28" s="17" t="s">
        <v>41</v>
      </c>
      <c r="I28" s="20" t="n">
        <f aca="false">IF(G28="Done",1,IF(G28="In Progress",0.5,IF(G28="Blocked",0.25,0)))</f>
        <v>0</v>
      </c>
      <c r="J28" s="18"/>
    </row>
    <row r="29" customFormat="false" ht="15.75" hidden="false" customHeight="true" outlineLevel="0" collapsed="false">
      <c r="B29" s="17" t="s">
        <v>61</v>
      </c>
      <c r="C29" s="18" t="s">
        <v>64</v>
      </c>
      <c r="D29" s="17" t="s">
        <v>23</v>
      </c>
      <c r="E29" s="19" t="n">
        <v>46539</v>
      </c>
      <c r="F29" s="19" t="n">
        <v>46630</v>
      </c>
      <c r="G29" s="17" t="s">
        <v>9</v>
      </c>
      <c r="H29" s="17" t="s">
        <v>41</v>
      </c>
      <c r="I29" s="20" t="n">
        <f aca="false">IF(G29="Done",1,IF(G29="In Progress",0.5,IF(G29="Blocked",0.25,0)))</f>
        <v>0</v>
      </c>
      <c r="J29" s="18"/>
    </row>
    <row r="30" customFormat="false" ht="15.75" hidden="false" customHeight="true" outlineLevel="0" collapsed="false">
      <c r="B30" s="17" t="s">
        <v>65</v>
      </c>
      <c r="C30" s="18" t="s">
        <v>66</v>
      </c>
      <c r="D30" s="17" t="s">
        <v>24</v>
      </c>
      <c r="E30" s="19" t="n">
        <v>46600</v>
      </c>
      <c r="F30" s="19" t="n">
        <v>46630</v>
      </c>
      <c r="G30" s="17" t="s">
        <v>9</v>
      </c>
      <c r="H30" s="17" t="s">
        <v>36</v>
      </c>
      <c r="I30" s="20" t="n">
        <f aca="false">IF(G30="Done",1,IF(G30="In Progress",0.5,IF(G30="Blocked",0.25,0)))</f>
        <v>0</v>
      </c>
      <c r="J30" s="18"/>
    </row>
    <row r="31" customFormat="false" ht="15.75" hidden="false" customHeight="true" outlineLevel="0" collapsed="false">
      <c r="B31" s="17" t="s">
        <v>65</v>
      </c>
      <c r="C31" s="18" t="s">
        <v>67</v>
      </c>
      <c r="D31" s="17" t="s">
        <v>24</v>
      </c>
      <c r="E31" s="19" t="n">
        <v>46600</v>
      </c>
      <c r="F31" s="19" t="n">
        <v>46645</v>
      </c>
      <c r="G31" s="17" t="s">
        <v>9</v>
      </c>
      <c r="H31" s="17" t="s">
        <v>36</v>
      </c>
      <c r="I31" s="20" t="n">
        <f aca="false">IF(G31="Done",1,IF(G31="In Progress",0.5,IF(G31="Blocked",0.25,0)))</f>
        <v>0</v>
      </c>
      <c r="J31" s="18"/>
    </row>
    <row r="32" customFormat="false" ht="15.75" hidden="false" customHeight="true" outlineLevel="0" collapsed="false">
      <c r="B32" s="17" t="s">
        <v>65</v>
      </c>
      <c r="C32" s="18" t="s">
        <v>68</v>
      </c>
      <c r="D32" s="17" t="s">
        <v>24</v>
      </c>
      <c r="E32" s="19" t="n">
        <v>46614</v>
      </c>
      <c r="F32" s="19" t="n">
        <v>46645</v>
      </c>
      <c r="G32" s="17" t="s">
        <v>9</v>
      </c>
      <c r="H32" s="17" t="s">
        <v>41</v>
      </c>
      <c r="I32" s="20" t="n">
        <f aca="false">IF(G32="Done",1,IF(G32="In Progress",0.5,IF(G32="Blocked",0.25,0)))</f>
        <v>0</v>
      </c>
      <c r="J32" s="18"/>
    </row>
    <row r="33" customFormat="false" ht="15.75" hidden="false" customHeight="true" outlineLevel="0" collapsed="false">
      <c r="B33" s="17" t="s">
        <v>65</v>
      </c>
      <c r="C33" s="18" t="s">
        <v>69</v>
      </c>
      <c r="D33" s="17" t="s">
        <v>24</v>
      </c>
      <c r="E33" s="19" t="n">
        <v>46631</v>
      </c>
      <c r="F33" s="19" t="n">
        <v>46660</v>
      </c>
      <c r="G33" s="17" t="s">
        <v>9</v>
      </c>
      <c r="H33" s="17" t="s">
        <v>36</v>
      </c>
      <c r="I33" s="20" t="n">
        <f aca="false">IF(G33="Done",1,IF(G33="In Progress",0.5,IF(G33="Blocked",0.25,0)))</f>
        <v>0</v>
      </c>
      <c r="J33" s="18"/>
    </row>
    <row r="34" customFormat="false" ht="15.75" hidden="false" customHeight="true" outlineLevel="0" collapsed="false">
      <c r="B34" s="17" t="s">
        <v>65</v>
      </c>
      <c r="C34" s="18" t="s">
        <v>70</v>
      </c>
      <c r="D34" s="17" t="s">
        <v>24</v>
      </c>
      <c r="E34" s="19" t="n">
        <v>46614</v>
      </c>
      <c r="F34" s="19" t="n">
        <v>46660</v>
      </c>
      <c r="G34" s="17" t="s">
        <v>9</v>
      </c>
      <c r="H34" s="17" t="s">
        <v>41</v>
      </c>
      <c r="I34" s="20" t="n">
        <f aca="false">IF(G34="Done",1,IF(G34="In Progress",0.5,IF(G34="Blocked",0.25,0)))</f>
        <v>0</v>
      </c>
      <c r="J34" s="18"/>
    </row>
    <row r="35" customFormat="false" ht="15.75" hidden="false" customHeight="true" outlineLevel="0" collapsed="false">
      <c r="B35" s="17" t="s">
        <v>65</v>
      </c>
      <c r="C35" s="18" t="s">
        <v>71</v>
      </c>
      <c r="D35" s="17" t="s">
        <v>25</v>
      </c>
      <c r="E35" s="19" t="n">
        <v>46614</v>
      </c>
      <c r="F35" s="19" t="n">
        <v>46675</v>
      </c>
      <c r="G35" s="17" t="s">
        <v>9</v>
      </c>
      <c r="H35" s="17" t="s">
        <v>36</v>
      </c>
      <c r="I35" s="20" t="n">
        <f aca="false">IF(G35="Done",1,IF(G35="In Progress",0.5,IF(G35="Blocked",0.25,0)))</f>
        <v>0</v>
      </c>
      <c r="J35" s="18"/>
    </row>
  </sheetData>
  <conditionalFormatting sqref="G6:G65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conditionalFormatting sqref="F6:F65">
    <cfRule type="expression" priority="5" aboveAverage="0" equalAverage="0" bottom="0" percent="0" rank="0" text="" dxfId="2">
      <formula>AND(F6&lt;TODAY(),G6&lt;&gt;"Done",G6&lt;&gt;"")</formula>
    </cfRule>
  </conditionalFormatting>
  <conditionalFormatting sqref="H6:H65">
    <cfRule type="cellIs" priority="6" operator="equal" aboveAverage="0" equalAverage="0" bottom="0" percent="0" rank="0" text="" dxfId="3">
      <formula>"High"</formula>
    </cfRule>
  </conditionalFormatting>
  <dataValidations count="3">
    <dataValidation allowBlank="true" errorStyle="stop" operator="between" showDropDown="false" showErrorMessage="false" showInputMessage="false" sqref="G6:G65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H6:H65" type="list">
      <formula1>"High,Medium,Low"</formula1>
      <formula2>0</formula2>
    </dataValidation>
    <dataValidation allowBlank="true" errorStyle="stop" operator="between" showDropDown="false" showErrorMessage="false" showInputMessage="false" sqref="D6:D65" type="list">
      <formula1>"Documents &amp; Transcripts,German Language,English Proof,uni-assist Application,HWR Application,Visa &amp; Relocation,Spouse / Family"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6" t="s">
        <v>72</v>
      </c>
    </row>
    <row r="3" customFormat="false" ht="15" hidden="false" customHeight="false" outlineLevel="0" collapsed="false">
      <c r="B3" s="2" t="s">
        <v>73</v>
      </c>
    </row>
    <row r="5" customFormat="false" ht="21.75" hidden="false" customHeight="true" outlineLevel="0" collapsed="false">
      <c r="B5" s="12" t="s">
        <v>74</v>
      </c>
      <c r="C5" s="12" t="s">
        <v>75</v>
      </c>
      <c r="D5" s="12" t="s">
        <v>11</v>
      </c>
      <c r="E5" s="12" t="s">
        <v>32</v>
      </c>
      <c r="F5" s="12" t="s">
        <v>33</v>
      </c>
    </row>
    <row r="6" customFormat="false" ht="15.75" hidden="false" customHeight="true" outlineLevel="0" collapsed="false">
      <c r="B6" s="18" t="s">
        <v>76</v>
      </c>
      <c r="C6" s="17" t="s">
        <v>77</v>
      </c>
      <c r="D6" s="17" t="s">
        <v>78</v>
      </c>
      <c r="E6" s="17" t="s">
        <v>36</v>
      </c>
      <c r="F6" s="18"/>
    </row>
    <row r="7" customFormat="false" ht="15.75" hidden="false" customHeight="true" outlineLevel="0" collapsed="false">
      <c r="B7" s="18" t="s">
        <v>79</v>
      </c>
      <c r="C7" s="17" t="s">
        <v>80</v>
      </c>
      <c r="D7" s="17" t="s">
        <v>78</v>
      </c>
      <c r="E7" s="17" t="s">
        <v>36</v>
      </c>
      <c r="F7" s="18"/>
    </row>
    <row r="8" customFormat="false" ht="15.75" hidden="false" customHeight="true" outlineLevel="0" collapsed="false">
      <c r="B8" s="18" t="s">
        <v>81</v>
      </c>
      <c r="C8" s="17" t="s">
        <v>80</v>
      </c>
      <c r="D8" s="17" t="s">
        <v>78</v>
      </c>
      <c r="E8" s="17" t="s">
        <v>36</v>
      </c>
      <c r="F8" s="18" t="s">
        <v>82</v>
      </c>
    </row>
    <row r="9" customFormat="false" ht="15.75" hidden="false" customHeight="true" outlineLevel="0" collapsed="false">
      <c r="B9" s="18" t="s">
        <v>83</v>
      </c>
      <c r="C9" s="17" t="s">
        <v>80</v>
      </c>
      <c r="D9" s="17" t="s">
        <v>78</v>
      </c>
      <c r="E9" s="17" t="s">
        <v>41</v>
      </c>
      <c r="F9" s="18"/>
    </row>
    <row r="10" customFormat="false" ht="15.75" hidden="false" customHeight="true" outlineLevel="0" collapsed="false">
      <c r="B10" s="18" t="s">
        <v>84</v>
      </c>
      <c r="C10" s="17" t="s">
        <v>80</v>
      </c>
      <c r="D10" s="17" t="s">
        <v>78</v>
      </c>
      <c r="E10" s="17" t="s">
        <v>36</v>
      </c>
      <c r="F10" s="18"/>
    </row>
    <row r="11" customFormat="false" ht="15.75" hidden="false" customHeight="true" outlineLevel="0" collapsed="false">
      <c r="B11" s="18" t="s">
        <v>85</v>
      </c>
      <c r="C11" s="17" t="s">
        <v>80</v>
      </c>
      <c r="D11" s="17" t="s">
        <v>78</v>
      </c>
      <c r="E11" s="17" t="s">
        <v>36</v>
      </c>
      <c r="F11" s="18"/>
    </row>
    <row r="12" customFormat="false" ht="15.75" hidden="false" customHeight="true" outlineLevel="0" collapsed="false">
      <c r="B12" s="18" t="s">
        <v>86</v>
      </c>
      <c r="C12" s="17" t="s">
        <v>80</v>
      </c>
      <c r="D12" s="17" t="s">
        <v>78</v>
      </c>
      <c r="E12" s="17" t="s">
        <v>36</v>
      </c>
      <c r="F12" s="18" t="s">
        <v>87</v>
      </c>
    </row>
    <row r="13" customFormat="false" ht="15.75" hidden="false" customHeight="true" outlineLevel="0" collapsed="false">
      <c r="B13" s="18" t="s">
        <v>88</v>
      </c>
      <c r="C13" s="17" t="s">
        <v>80</v>
      </c>
      <c r="D13" s="17" t="s">
        <v>78</v>
      </c>
      <c r="E13" s="17" t="s">
        <v>41</v>
      </c>
      <c r="F13" s="18"/>
    </row>
    <row r="14" customFormat="false" ht="15.75" hidden="false" customHeight="true" outlineLevel="0" collapsed="false">
      <c r="B14" s="18" t="s">
        <v>89</v>
      </c>
      <c r="C14" s="17" t="s">
        <v>90</v>
      </c>
      <c r="D14" s="17" t="s">
        <v>78</v>
      </c>
      <c r="E14" s="17" t="s">
        <v>41</v>
      </c>
      <c r="F14" s="18"/>
    </row>
    <row r="15" customFormat="false" ht="15.75" hidden="false" customHeight="true" outlineLevel="0" collapsed="false">
      <c r="B15" s="18" t="s">
        <v>91</v>
      </c>
      <c r="C15" s="17" t="s">
        <v>92</v>
      </c>
      <c r="D15" s="17" t="s">
        <v>78</v>
      </c>
      <c r="E15" s="17" t="s">
        <v>41</v>
      </c>
      <c r="F15" s="18" t="s">
        <v>93</v>
      </c>
    </row>
    <row r="16" customFormat="false" ht="15.75" hidden="false" customHeight="true" outlineLevel="0" collapsed="false">
      <c r="B16" s="18" t="s">
        <v>94</v>
      </c>
      <c r="C16" s="17" t="s">
        <v>92</v>
      </c>
      <c r="D16" s="17" t="s">
        <v>78</v>
      </c>
      <c r="E16" s="17" t="s">
        <v>36</v>
      </c>
      <c r="F16" s="18" t="s">
        <v>95</v>
      </c>
    </row>
    <row r="17" customFormat="false" ht="15.75" hidden="false" customHeight="true" outlineLevel="0" collapsed="false">
      <c r="B17" s="18" t="s">
        <v>96</v>
      </c>
      <c r="C17" s="17" t="s">
        <v>92</v>
      </c>
      <c r="D17" s="17" t="s">
        <v>78</v>
      </c>
      <c r="E17" s="17" t="s">
        <v>36</v>
      </c>
      <c r="F17" s="18" t="s">
        <v>97</v>
      </c>
    </row>
    <row r="18" customFormat="false" ht="15.75" hidden="false" customHeight="true" outlineLevel="0" collapsed="false">
      <c r="B18" s="18" t="s">
        <v>98</v>
      </c>
      <c r="C18" s="17" t="s">
        <v>90</v>
      </c>
      <c r="D18" s="17" t="s">
        <v>78</v>
      </c>
      <c r="E18" s="17" t="s">
        <v>41</v>
      </c>
      <c r="F18" s="18"/>
    </row>
    <row r="19" customFormat="false" ht="15.75" hidden="false" customHeight="true" outlineLevel="0" collapsed="false">
      <c r="B19" s="18" t="s">
        <v>99</v>
      </c>
      <c r="C19" s="17" t="s">
        <v>100</v>
      </c>
      <c r="D19" s="17" t="s">
        <v>78</v>
      </c>
      <c r="E19" s="17" t="s">
        <v>36</v>
      </c>
      <c r="F19" s="18" t="s">
        <v>101</v>
      </c>
    </row>
    <row r="20" customFormat="false" ht="15.75" hidden="false" customHeight="true" outlineLevel="0" collapsed="false">
      <c r="B20" s="18" t="s">
        <v>102</v>
      </c>
      <c r="C20" s="17" t="s">
        <v>100</v>
      </c>
      <c r="D20" s="17" t="s">
        <v>78</v>
      </c>
      <c r="E20" s="17" t="s">
        <v>36</v>
      </c>
      <c r="F20" s="18"/>
    </row>
    <row r="21" customFormat="false" ht="15.75" hidden="false" customHeight="true" outlineLevel="0" collapsed="false">
      <c r="B21" s="18" t="s">
        <v>103</v>
      </c>
      <c r="C21" s="17" t="s">
        <v>100</v>
      </c>
      <c r="D21" s="17" t="s">
        <v>78</v>
      </c>
      <c r="E21" s="17" t="s">
        <v>41</v>
      </c>
      <c r="F21" s="18"/>
    </row>
    <row r="22" customFormat="false" ht="15.75" hidden="false" customHeight="true" outlineLevel="0" collapsed="false">
      <c r="B22" s="18" t="s">
        <v>104</v>
      </c>
      <c r="C22" s="17" t="s">
        <v>100</v>
      </c>
      <c r="D22" s="17" t="s">
        <v>78</v>
      </c>
      <c r="E22" s="17" t="s">
        <v>41</v>
      </c>
      <c r="F22" s="18"/>
    </row>
    <row r="23" customFormat="false" ht="15.75" hidden="false" customHeight="true" outlineLevel="0" collapsed="false">
      <c r="B23" s="18" t="s">
        <v>105</v>
      </c>
      <c r="C23" s="17" t="s">
        <v>106</v>
      </c>
      <c r="D23" s="17" t="s">
        <v>78</v>
      </c>
      <c r="E23" s="17" t="s">
        <v>36</v>
      </c>
      <c r="F23" s="18"/>
    </row>
    <row r="24" customFormat="false" ht="15.75" hidden="false" customHeight="true" outlineLevel="0" collapsed="false">
      <c r="B24" s="18" t="s">
        <v>107</v>
      </c>
      <c r="C24" s="17" t="s">
        <v>106</v>
      </c>
      <c r="D24" s="17" t="s">
        <v>78</v>
      </c>
      <c r="E24" s="17" t="s">
        <v>36</v>
      </c>
      <c r="F24" s="18"/>
    </row>
    <row r="26" customFormat="false" ht="15" hidden="false" customHeight="false" outlineLevel="0" collapsed="false">
      <c r="B26" s="3" t="s">
        <v>108</v>
      </c>
      <c r="C26" s="21" t="str">
        <f aca="false">COUNTIF(D6:D24,"Obtained")&amp;" / "&amp;COUNTA(B6:B24)</f>
        <v>0 / 19</v>
      </c>
    </row>
  </sheetData>
  <conditionalFormatting sqref="D6:D44">
    <cfRule type="cellIs" priority="2" operator="equal" aboveAverage="0" equalAverage="0" bottom="0" percent="0" rank="0" text="" dxfId="0">
      <formula>"Obtained"</formula>
    </cfRule>
    <cfRule type="cellIs" priority="3" operator="equal" aboveAverage="0" equalAverage="0" bottom="0" percent="0" rank="0" text="" dxfId="1">
      <formula>"Requested"</formula>
    </cfRule>
    <cfRule type="cellIs" priority="4" operator="equal" aboveAverage="0" equalAverage="0" bottom="0" percent="0" rank="0" text="" dxfId="2">
      <formula>"Not Obtained"</formula>
    </cfRule>
  </conditionalFormatting>
  <dataValidations count="2">
    <dataValidation allowBlank="true" errorStyle="stop" operator="between" showDropDown="false" showErrorMessage="false" showInputMessage="false" sqref="D6:D44" type="list">
      <formula1>"Not Obtained,Requested,Obtained,Not Applicable"</formula1>
      <formula2>0</formula2>
    </dataValidation>
    <dataValidation allowBlank="true" errorStyle="stop" operator="between" showDropDown="false" showErrorMessage="false" showInputMessage="false" sqref="E6:E4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30"/>
  </cols>
  <sheetData>
    <row r="2" customFormat="false" ht="19.7" hidden="false" customHeight="false" outlineLevel="0" collapsed="false">
      <c r="B2" s="16" t="s">
        <v>109</v>
      </c>
    </row>
    <row r="3" customFormat="false" ht="15" hidden="false" customHeight="false" outlineLevel="0" collapsed="false">
      <c r="B3" s="2" t="s">
        <v>110</v>
      </c>
    </row>
    <row r="5" customFormat="false" ht="21.75" hidden="false" customHeight="true" outlineLevel="0" collapsed="false">
      <c r="B5" s="12" t="s">
        <v>111</v>
      </c>
      <c r="C5" s="12" t="s">
        <v>112</v>
      </c>
      <c r="D5" s="12" t="s">
        <v>31</v>
      </c>
      <c r="E5" s="12" t="s">
        <v>113</v>
      </c>
      <c r="F5" s="12" t="s">
        <v>11</v>
      </c>
      <c r="G5" s="12" t="s">
        <v>33</v>
      </c>
    </row>
    <row r="6" customFormat="false" ht="15.75" hidden="false" customHeight="true" outlineLevel="0" collapsed="false">
      <c r="B6" s="17" t="s">
        <v>114</v>
      </c>
      <c r="C6" s="17" t="s">
        <v>115</v>
      </c>
      <c r="D6" s="19" t="n">
        <v>46387</v>
      </c>
      <c r="E6" s="19"/>
      <c r="F6" s="17" t="s">
        <v>9</v>
      </c>
      <c r="G6" s="18"/>
    </row>
    <row r="7" customFormat="false" ht="15.75" hidden="false" customHeight="true" outlineLevel="0" collapsed="false">
      <c r="B7" s="17" t="s">
        <v>114</v>
      </c>
      <c r="C7" s="17" t="s">
        <v>116</v>
      </c>
      <c r="D7" s="19" t="n">
        <v>46477</v>
      </c>
      <c r="E7" s="19"/>
      <c r="F7" s="17" t="s">
        <v>9</v>
      </c>
      <c r="G7" s="18" t="s">
        <v>117</v>
      </c>
    </row>
    <row r="8" customFormat="false" ht="15.75" hidden="false" customHeight="true" outlineLevel="0" collapsed="false">
      <c r="B8" s="17" t="s">
        <v>114</v>
      </c>
      <c r="C8" s="17" t="s">
        <v>118</v>
      </c>
      <c r="D8" s="19" t="n">
        <v>46568</v>
      </c>
      <c r="E8" s="19"/>
      <c r="F8" s="17" t="s">
        <v>9</v>
      </c>
      <c r="G8" s="18" t="s">
        <v>119</v>
      </c>
    </row>
    <row r="9" customFormat="false" ht="15.75" hidden="false" customHeight="true" outlineLevel="0" collapsed="false">
      <c r="B9" s="17" t="s">
        <v>120</v>
      </c>
      <c r="C9" s="17" t="s">
        <v>121</v>
      </c>
      <c r="D9" s="19" t="n">
        <v>46418</v>
      </c>
      <c r="E9" s="19"/>
      <c r="F9" s="17" t="s">
        <v>9</v>
      </c>
      <c r="G9" s="18"/>
    </row>
    <row r="10" customFormat="false" ht="15.75" hidden="false" customHeight="true" outlineLevel="0" collapsed="false">
      <c r="B10" s="17" t="s">
        <v>120</v>
      </c>
      <c r="C10" s="17" t="s">
        <v>122</v>
      </c>
      <c r="D10" s="19" t="n">
        <v>46433</v>
      </c>
      <c r="E10" s="19"/>
      <c r="F10" s="17" t="s">
        <v>9</v>
      </c>
      <c r="G10" s="18"/>
    </row>
    <row r="11" customFormat="false" ht="15.75" hidden="false" customHeight="true" outlineLevel="0" collapsed="false">
      <c r="B11" s="17" t="s">
        <v>120</v>
      </c>
      <c r="C11" s="17" t="s">
        <v>123</v>
      </c>
      <c r="D11" s="19" t="n">
        <v>46461</v>
      </c>
      <c r="E11" s="19"/>
      <c r="F11" s="17" t="s">
        <v>9</v>
      </c>
      <c r="G11" s="18" t="s">
        <v>124</v>
      </c>
    </row>
    <row r="12" customFormat="false" ht="15.75" hidden="false" customHeight="true" outlineLevel="0" collapsed="false">
      <c r="B12" s="17" t="s">
        <v>120</v>
      </c>
      <c r="C12" s="17" t="s">
        <v>125</v>
      </c>
      <c r="D12" s="19" t="n">
        <v>46477</v>
      </c>
      <c r="E12" s="19"/>
      <c r="F12" s="17" t="s">
        <v>9</v>
      </c>
      <c r="G12" s="18"/>
    </row>
  </sheetData>
  <conditionalFormatting sqref="F6:F22">
    <cfRule type="cellIs" priority="2" operator="equal" aboveAverage="0" equalAverage="0" bottom="0" percent="0" rank="0" text="" dxfId="0">
      <formula>"Achieved"</formula>
    </cfRule>
    <cfRule type="cellIs" priority="3" operator="equal" aboveAverage="0" equalAverage="0" bottom="0" percent="0" rank="0" text="" dxfId="1">
      <formula>"In Progress"</formula>
    </cfRule>
  </conditionalFormatting>
  <conditionalFormatting sqref="D6:D22">
    <cfRule type="expression" priority="4" aboveAverage="0" equalAverage="0" bottom="0" percent="0" rank="0" text="" dxfId="2">
      <formula>AND(D6&lt;TODAY(),F6&lt;&gt;"Achieved",F6&lt;&gt;"")</formula>
    </cfRule>
  </conditionalFormatting>
  <dataValidations count="1">
    <dataValidation allowBlank="true" errorStyle="stop" operator="between" showDropDown="false" showErrorMessage="false" showInputMessage="false" sqref="F6:F22" type="list">
      <formula1>"Not Started,In Progress,Achieved"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6" t="s">
        <v>126</v>
      </c>
    </row>
    <row r="4" customFormat="false" ht="21.75" hidden="false" customHeight="true" outlineLevel="0" collapsed="false">
      <c r="B4" s="12" t="s">
        <v>112</v>
      </c>
      <c r="C4" s="12" t="s">
        <v>127</v>
      </c>
      <c r="D4" s="12" t="s">
        <v>128</v>
      </c>
      <c r="E4" s="12" t="s">
        <v>33</v>
      </c>
    </row>
    <row r="5" customFormat="false" ht="15.75" hidden="false" customHeight="true" outlineLevel="0" collapsed="false">
      <c r="B5" s="18" t="s">
        <v>129</v>
      </c>
      <c r="C5" s="19" t="n">
        <v>46387</v>
      </c>
      <c r="D5" s="22" t="n">
        <f aca="true">C5-TODAY()</f>
        <v>122</v>
      </c>
      <c r="E5" s="18" t="s">
        <v>130</v>
      </c>
    </row>
    <row r="6" customFormat="false" ht="15.75" hidden="false" customHeight="true" outlineLevel="0" collapsed="false">
      <c r="B6" s="18" t="s">
        <v>131</v>
      </c>
      <c r="C6" s="19" t="n">
        <v>46477</v>
      </c>
      <c r="D6" s="22" t="n">
        <f aca="true">C6-TODAY()</f>
        <v>212</v>
      </c>
      <c r="E6" s="18" t="s">
        <v>132</v>
      </c>
    </row>
    <row r="7" customFormat="false" ht="15.75" hidden="false" customHeight="true" outlineLevel="0" collapsed="false">
      <c r="B7" s="18" t="s">
        <v>133</v>
      </c>
      <c r="C7" s="19" t="n">
        <v>46461</v>
      </c>
      <c r="D7" s="22" t="n">
        <f aca="true">C7-TODAY()</f>
        <v>196</v>
      </c>
      <c r="E7" s="18" t="s">
        <v>124</v>
      </c>
    </row>
    <row r="8" customFormat="false" ht="15.75" hidden="false" customHeight="true" outlineLevel="0" collapsed="false">
      <c r="B8" s="18" t="s">
        <v>134</v>
      </c>
      <c r="C8" s="19" t="n">
        <v>46507</v>
      </c>
      <c r="D8" s="22" t="n">
        <f aca="true">C8-TODAY()</f>
        <v>242</v>
      </c>
      <c r="E8" s="18" t="s">
        <v>135</v>
      </c>
    </row>
    <row r="9" customFormat="false" ht="15.75" hidden="false" customHeight="true" outlineLevel="0" collapsed="false">
      <c r="B9" s="18" t="s">
        <v>136</v>
      </c>
      <c r="C9" s="19" t="n">
        <v>46568</v>
      </c>
      <c r="D9" s="22" t="n">
        <f aca="true">C9-TODAY()</f>
        <v>303</v>
      </c>
      <c r="E9" s="18" t="s">
        <v>137</v>
      </c>
    </row>
    <row r="10" customFormat="false" ht="15.75" hidden="false" customHeight="true" outlineLevel="0" collapsed="false">
      <c r="B10" s="18" t="s">
        <v>138</v>
      </c>
      <c r="C10" s="19" t="n">
        <v>46539</v>
      </c>
      <c r="D10" s="22" t="n">
        <f aca="true">C10-TODAY()</f>
        <v>274</v>
      </c>
      <c r="E10" s="18" t="s">
        <v>139</v>
      </c>
    </row>
    <row r="11" customFormat="false" ht="15.75" hidden="false" customHeight="true" outlineLevel="0" collapsed="false">
      <c r="B11" s="18" t="s">
        <v>140</v>
      </c>
      <c r="C11" s="19" t="n">
        <v>46539</v>
      </c>
      <c r="D11" s="22" t="n">
        <f aca="true">C11-TODAY()</f>
        <v>274</v>
      </c>
      <c r="E11" s="18" t="s">
        <v>141</v>
      </c>
    </row>
    <row r="12" customFormat="false" ht="15.75" hidden="false" customHeight="true" outlineLevel="0" collapsed="false">
      <c r="B12" s="18" t="s">
        <v>142</v>
      </c>
      <c r="C12" s="19" t="n">
        <v>46583</v>
      </c>
      <c r="D12" s="22" t="n">
        <f aca="true">C12-TODAY()</f>
        <v>318</v>
      </c>
      <c r="E12" s="18" t="s">
        <v>143</v>
      </c>
    </row>
    <row r="13" customFormat="false" ht="15.75" hidden="false" customHeight="true" outlineLevel="0" collapsed="false">
      <c r="B13" s="18" t="s">
        <v>144</v>
      </c>
      <c r="C13" s="19" t="n">
        <v>46630</v>
      </c>
      <c r="D13" s="22" t="n">
        <f aca="true">C13-TODAY()</f>
        <v>365</v>
      </c>
      <c r="E13" s="18" t="s">
        <v>145</v>
      </c>
    </row>
    <row r="14" customFormat="false" ht="15.75" hidden="false" customHeight="true" outlineLevel="0" collapsed="false">
      <c r="B14" s="18" t="s">
        <v>146</v>
      </c>
      <c r="C14" s="19" t="n">
        <v>46660</v>
      </c>
      <c r="D14" s="22" t="n">
        <f aca="true">C14-TODAY()</f>
        <v>395</v>
      </c>
      <c r="E14" s="18" t="s">
        <v>147</v>
      </c>
    </row>
    <row r="15" customFormat="false" ht="15.75" hidden="false" customHeight="true" outlineLevel="0" collapsed="false">
      <c r="B15" s="18" t="s">
        <v>148</v>
      </c>
      <c r="C15" s="19" t="n">
        <v>46661</v>
      </c>
      <c r="D15" s="22" t="n">
        <f aca="true">C15-TODAY()</f>
        <v>396</v>
      </c>
      <c r="E15" s="18" t="s">
        <v>149</v>
      </c>
    </row>
  </sheetData>
  <conditionalFormatting sqref="D5:D15">
    <cfRule type="cellIs" priority="2" operator="lessThan" aboveAverage="0" equalAverage="0" bottom="0" percent="0" rank="0" text="" dxfId="2">
      <formula>0</formula>
    </cfRule>
    <cfRule type="cellIs" priority="3" operator="lessThan" aboveAverage="0" equalAverage="0" bottom="0" percent="0" rank="0" text="" dxfId="1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2026-08-31T18:52:08Z</dcterms:created>
  <dc:creator>openpyxl</dc:creator>
  <dc:description/>
  <dc:language>en-US</dc:language>
  <cp:lastModifiedBy/>
  <dcterms:modified xsi:type="dcterms:W3CDTF">2026-08-31T18:52:11Z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